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Pandey\Downloads\"/>
    </mc:Choice>
  </mc:AlternateContent>
  <xr:revisionPtr revIDLastSave="0" documentId="13_ncr:1_{3C0C0E67-BC59-4EDD-8B4B-05E4108A7DEF}" xr6:coauthVersionLast="47" xr6:coauthVersionMax="47" xr10:uidLastSave="{00000000-0000-0000-0000-000000000000}"/>
  <bookViews>
    <workbookView xWindow="-108" yWindow="-108" windowWidth="23256" windowHeight="1245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  <sheet name="SumFilt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0" l="1" a="1"/>
  <c r="J8" i="10" s="1"/>
  <c r="J3" i="9" a="1"/>
  <c r="J3" i="9" s="1"/>
  <c r="I3" i="11"/>
  <c r="I3" i="6" a="1"/>
  <c r="I3" i="6" s="1"/>
  <c r="I8" i="12"/>
  <c r="I8" i="5"/>
  <c r="C9" i="4"/>
  <c r="I3" i="1"/>
  <c r="I4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B5" i="12" s="1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J4" i="10" a="1"/>
  <c r="J4" i="10" s="1"/>
  <c r="E3" i="10"/>
  <c r="F3" i="10" s="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2" l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<sst xmlns="http://schemas.openxmlformats.org/spreadsheetml/2006/main" count="250" uniqueCount="49">
  <si>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</si>
  <si>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</si>
  <si>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</si>
  <si>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</si>
  <si>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</si>
  <si>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</si>
  <si>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</si>
  <si>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</si>
  <si>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</si>
  <si>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</si>
  <si>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</si>
  <si>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</si>
  <si>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</si>
  <si>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</si>
  <si>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</si>
  <si>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</si>
  <si>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</si>
  <si>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</si>
  <si>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</si>
  <si>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</si>
  <si>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</si>
  <si>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</si>
  <si>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</si>
  <si>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</si>
  <si>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</si>
  <si>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</si>
  <si>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</si>
  <si>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</si>
  <si>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</si>
  <si>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</si>
  <si>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Commissions by Salesperson</t>
  </si>
  <si>
    <t>Figures in USD</t>
  </si>
  <si>
    <t>Year</t>
  </si>
  <si>
    <t>Sum &amp; Filter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</si>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</sst>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2" fillId="2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abSelected="1" zoomScale="99" workbookViewId="0">
      <selection activeCell="I9" sqref="I9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3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20</v>
      </c>
      <c r="I3" s="2">
        <f>VLOOKUP(H3,B3:F24,5,FALSE)</f>
        <v>1239.48324</v>
      </c>
    </row>
    <row r="4" spans="1:9" x14ac:dyDescent="0.3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3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3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G10" sqref="G10"/>
    </sheetView>
  </sheetViews>
  <sheetFormatPr defaultColWidth="10.59765625" defaultRowHeight="15.6" x14ac:dyDescent="0.3"/>
  <cols>
    <col min="2" max="2" width="11.59765625" bestFit="1" customWidth="1"/>
  </cols>
  <sheetData>
    <row r="2" spans="2:24" x14ac:dyDescent="0.3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3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4</v>
      </c>
    </row>
    <row r="9" spans="2:24" x14ac:dyDescent="0.3">
      <c r="B9" t="s">
        <v>20</v>
      </c>
      <c r="C9" s="2">
        <f>HLOOKUP(B9,C2:X6,5,FALSE)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I11" sqref="I11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5" t="s">
        <v>28</v>
      </c>
      <c r="I2" s="15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21</v>
      </c>
      <c r="I8" s="2">
        <f>_xlfn.XLOOKUP(H8,F3:F24,E3:E24)</f>
        <v>1413.0108935999999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J8" sqref="J8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5" t="s">
        <v>28</v>
      </c>
      <c r="I2" s="15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25</v>
      </c>
      <c r="I8" s="2">
        <f>_xlfn.XLOOKUP(H8,F3:F24,E3:E24,"Not on the list" )</f>
        <v>489.26970000000006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workbookViewId="0">
      <selection activeCell="I5" sqref="I5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</row>
    <row r="3" spans="1:10" x14ac:dyDescent="0.3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20</v>
      </c>
      <c r="I3" s="2" cm="1">
        <f t="array" ref="I3:J3">_xlfn.XLOOKUP(H3,B3:B24,E3:F24,"Not in the list")</f>
        <v>6197.4161999999997</v>
      </c>
      <c r="J3" s="2">
        <v>1239.48324</v>
      </c>
    </row>
    <row r="4" spans="1:10" x14ac:dyDescent="0.3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3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3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3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3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3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3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3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3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3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3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3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3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I8" sqref="I8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44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43</v>
      </c>
      <c r="I2" s="8" t="s">
        <v>5</v>
      </c>
    </row>
    <row r="3" spans="1:9" x14ac:dyDescent="0.3">
      <c r="B3" s="11" t="s">
        <v>35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48</v>
      </c>
      <c r="I3" s="10">
        <f>_xlfn.XLOOKUP(H3&amp;"*",B3:B14,E3:E14,,2)</f>
        <v>6197.4161999999997</v>
      </c>
    </row>
    <row r="4" spans="1:9" x14ac:dyDescent="0.3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36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37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38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39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40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41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42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workbookViewId="0">
      <selection activeCell="B5" sqref="B5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15" t="s">
        <v>30</v>
      </c>
      <c r="C2" s="15"/>
      <c r="D2" s="15"/>
      <c r="E2" s="15"/>
      <c r="F2" s="15"/>
      <c r="H2" s="8" t="s">
        <v>1</v>
      </c>
      <c r="I2" s="8" t="s">
        <v>32</v>
      </c>
      <c r="J2" s="8" t="s">
        <v>4</v>
      </c>
    </row>
    <row r="3" spans="1:10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1" t="s">
        <v>20</v>
      </c>
      <c r="I3" s="4">
        <v>2021</v>
      </c>
      <c r="J3" s="10" cm="1">
        <f t="array" ref="J3">_xlfn.XLOOKUP(H3,B4:B25,_xlfn.XLOOKUP(I3,C3:F3,C4:F25))</f>
        <v>1354.1354397</v>
      </c>
    </row>
    <row r="4" spans="1:10" x14ac:dyDescent="0.3">
      <c r="B4" s="11" t="s">
        <v>19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0" x14ac:dyDescent="0.3">
      <c r="B5" s="11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3">
      <c r="B6" s="11" t="s">
        <v>21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3">
      <c r="B7" s="11" t="s">
        <v>22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3">
      <c r="B8" s="11" t="s">
        <v>23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3">
      <c r="B9" s="11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3">
      <c r="B10" s="11" t="s">
        <v>25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3">
      <c r="B11" s="11" t="s">
        <v>26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3">
      <c r="B12" s="11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3">
      <c r="B13" s="11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3">
      <c r="B14" s="11" t="s">
        <v>7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3">
      <c r="B15" s="11" t="s">
        <v>8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3">
      <c r="B16" s="11" t="s">
        <v>9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10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11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13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14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15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16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17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18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28F-26FA-5047-A452-389F261A909B}">
  <dimension ref="A1:K25"/>
  <sheetViews>
    <sheetView showGridLines="0" workbookViewId="0">
      <selection activeCell="I14" sqref="I14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1" x14ac:dyDescent="0.3">
      <c r="A1" t="s">
        <v>0</v>
      </c>
    </row>
    <row r="2" spans="1:11" x14ac:dyDescent="0.3">
      <c r="B2" s="15" t="s">
        <v>30</v>
      </c>
      <c r="C2" s="15"/>
      <c r="D2" s="15"/>
      <c r="E2" s="15"/>
      <c r="F2" s="15"/>
      <c r="H2" s="15" t="s">
        <v>29</v>
      </c>
      <c r="I2" s="15"/>
      <c r="J2" s="15"/>
    </row>
    <row r="3" spans="1:11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3" t="s">
        <v>1</v>
      </c>
      <c r="I3" s="13" t="s">
        <v>32</v>
      </c>
      <c r="J3" s="13" t="s">
        <v>4</v>
      </c>
    </row>
    <row r="4" spans="1:11" x14ac:dyDescent="0.3">
      <c r="B4" t="s">
        <v>20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4" t="s">
        <v>20</v>
      </c>
      <c r="I4" s="4">
        <v>2019</v>
      </c>
      <c r="J4" s="10" cm="1">
        <f t="array" ref="J4">_xlfn.XLOOKUP(H4,B4:B25,_xlfn.XLOOKUP(I4,C3:F3,C4:F25))</f>
        <v>1087.2660000000001</v>
      </c>
    </row>
    <row r="5" spans="1:11" x14ac:dyDescent="0.3">
      <c r="B5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1" x14ac:dyDescent="0.3">
      <c r="B6" t="s">
        <v>20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  <c r="H6" s="15" t="s">
        <v>33</v>
      </c>
      <c r="I6" s="15"/>
      <c r="J6" s="15"/>
    </row>
    <row r="7" spans="1:11" x14ac:dyDescent="0.3">
      <c r="B7" t="s">
        <v>20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  <c r="H7" s="13" t="s">
        <v>1</v>
      </c>
      <c r="I7" s="13" t="s">
        <v>32</v>
      </c>
      <c r="J7" s="13" t="s">
        <v>4</v>
      </c>
    </row>
    <row r="8" spans="1:11" x14ac:dyDescent="0.3">
      <c r="B8" t="s">
        <v>21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  <c r="H8" t="s">
        <v>6</v>
      </c>
      <c r="I8" s="4">
        <v>2019</v>
      </c>
      <c r="J8" s="10" cm="1">
        <f t="array" ref="J8">SUM(_xlfn._xlws.FILTER(_xlfn._xlws.FILTER(C4:F25,B4:B25=H8),C3:F3=I8))</f>
        <v>5024.5438869126292</v>
      </c>
      <c r="K8" s="14"/>
    </row>
    <row r="9" spans="1:11" x14ac:dyDescent="0.3">
      <c r="B9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1" x14ac:dyDescent="0.3">
      <c r="B10" t="s">
        <v>24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1" x14ac:dyDescent="0.3">
      <c r="B11" t="s">
        <v>24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1" x14ac:dyDescent="0.3">
      <c r="B12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1" x14ac:dyDescent="0.3">
      <c r="B13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1" x14ac:dyDescent="0.3">
      <c r="B14" t="s">
        <v>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1" x14ac:dyDescent="0.3">
      <c r="B15" t="s">
        <v>6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1" x14ac:dyDescent="0.3">
      <c r="B16" t="s">
        <v>6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t="s">
        <v>6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t="s">
        <v>6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t="s">
        <v>12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t="s">
        <v>12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t="s">
        <v>12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t="s">
        <v>12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t="s">
        <v>12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t="s">
        <v>12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Krishna Pandey</cp:lastModifiedBy>
  <dcterms:created xsi:type="dcterms:W3CDTF">2022-08-01T09:40:24Z</dcterms:created>
  <dcterms:modified xsi:type="dcterms:W3CDTF">2026-06-28T16:26:55Z</dcterms:modified>
</cp:coreProperties>
</file>