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rishna Pandey\Downloads\"/>
    </mc:Choice>
  </mc:AlternateContent>
  <xr:revisionPtr revIDLastSave="0" documentId="13_ncr:1_{37D8E83B-F230-4E8B-A91A-CF98E33E9234}" xr6:coauthVersionLast="47" xr6:coauthVersionMax="47" xr10:uidLastSave="{00000000-0000-0000-0000-000000000000}"/>
  <bookViews>
    <workbookView xWindow="-108" yWindow="-108" windowWidth="23256" windowHeight="12456" xr2:uid="{F4B3067C-5B8C-440A-A0DE-4FD4CDF5A3F7}"/>
  </bookViews>
  <sheets>
    <sheet name="if" sheetId="1" r:id="rId1"/>
    <sheet name="if and" sheetId="2" r:id="rId2"/>
    <sheet name="if or" sheetId="3" r:id="rId3"/>
  </sheets>
  <externalReferences>
    <externalReference r:id="rId4"/>
  </externalReferences>
  <definedNames>
    <definedName name="a">_xlfn.XLOOKUP('[1]69'!$F$4,'[1]69'!$B$4:$B$7,'[1]69'!$D$4:$D$7)</definedName>
    <definedName name="ab">_xlfn.XLOOKUP('[1]69'!XFD1048575,'[1]69'!$B$4:$B$7,'[1]69'!$D$4:$D$7)</definedName>
    <definedName name="xyz">_xlfn.XLOOKUP('[1]69'!$F$4,'[1]69'!$B$3:$B$7,'[1]69'!$D$3:$D$7)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3" l="1"/>
  <c r="D19" i="3"/>
  <c r="D20" i="3"/>
  <c r="D21" i="3"/>
  <c r="D22" i="3"/>
  <c r="D23" i="3"/>
  <c r="D24" i="3"/>
  <c r="D17" i="3"/>
  <c r="D5" i="3"/>
  <c r="D6" i="3"/>
  <c r="D7" i="3"/>
  <c r="D8" i="3"/>
  <c r="D4" i="3"/>
  <c r="F18" i="2"/>
  <c r="F19" i="2"/>
  <c r="F20" i="2"/>
  <c r="F21" i="2"/>
  <c r="F22" i="2"/>
  <c r="F23" i="2"/>
  <c r="F24" i="2"/>
  <c r="F17" i="2"/>
  <c r="F5" i="2"/>
  <c r="F6" i="2"/>
  <c r="F7" i="2"/>
  <c r="F8" i="2"/>
  <c r="F4" i="2"/>
  <c r="D18" i="1"/>
  <c r="D19" i="1"/>
  <c r="D20" i="1"/>
  <c r="D21" i="1"/>
  <c r="D17" i="1"/>
  <c r="H11" i="1"/>
  <c r="H12" i="1"/>
  <c r="H13" i="1"/>
  <c r="H14" i="1"/>
  <c r="H5" i="1"/>
  <c r="H6" i="1"/>
  <c r="H7" i="1"/>
  <c r="H8" i="1"/>
  <c r="H4" i="1"/>
  <c r="D4" i="1"/>
  <c r="D12" i="1"/>
  <c r="D13" i="1"/>
  <c r="D14" i="1"/>
  <c r="D11" i="1"/>
  <c r="D5" i="1"/>
  <c r="D6" i="1"/>
  <c r="D7" i="1"/>
  <c r="D8" i="1"/>
  <c r="F8" i="3"/>
  <c r="F7" i="3"/>
  <c r="F6" i="3"/>
  <c r="F5" i="3"/>
  <c r="F4" i="3"/>
  <c r="G4" i="2"/>
</calcChain>
</file>

<file path=xl/sharedStrings.xml><?xml version="1.0" encoding="utf-8"?>
<sst xmlns="http://schemas.openxmlformats.org/spreadsheetml/2006/main" count="115" uniqueCount="47">
  <si>
    <t xml:space="preserve"> IF Formula</t>
  </si>
  <si>
    <t>Student Name</t>
  </si>
  <si>
    <t xml:space="preserve">Test Marks </t>
  </si>
  <si>
    <t>Result</t>
  </si>
  <si>
    <t>Add. 5 Grace Marks if Stu Fail</t>
  </si>
  <si>
    <t>Raj Kumar</t>
  </si>
  <si>
    <t>Mohit</t>
  </si>
  <si>
    <t>Anil Kumar</t>
  </si>
  <si>
    <t>Sonu</t>
  </si>
  <si>
    <t>Deepak</t>
  </si>
  <si>
    <t>Failed Stu.</t>
  </si>
  <si>
    <t>Result ( Using Emoji )</t>
  </si>
  <si>
    <t>Gender</t>
  </si>
  <si>
    <t>Add Mr / Mis in Names</t>
  </si>
  <si>
    <t>Male</t>
  </si>
  <si>
    <t>Teena</t>
  </si>
  <si>
    <t>Female</t>
  </si>
  <si>
    <t>Reena</t>
  </si>
  <si>
    <t xml:space="preserve"> IF + And Formula</t>
  </si>
  <si>
    <t>Phy</t>
  </si>
  <si>
    <t>Che</t>
  </si>
  <si>
    <t>Mat</t>
  </si>
  <si>
    <t>Salesman Name</t>
  </si>
  <si>
    <t>Department</t>
  </si>
  <si>
    <t>Region</t>
  </si>
  <si>
    <t>Sale</t>
  </si>
  <si>
    <t>Bonus</t>
  </si>
  <si>
    <t>IT</t>
  </si>
  <si>
    <t>East</t>
  </si>
  <si>
    <t>Markeeting</t>
  </si>
  <si>
    <t>West</t>
  </si>
  <si>
    <t>North</t>
  </si>
  <si>
    <t>HR</t>
  </si>
  <si>
    <t>South</t>
  </si>
  <si>
    <t xml:space="preserve"> IF + OR Formula</t>
  </si>
  <si>
    <t>Order No</t>
  </si>
  <si>
    <t>Progress</t>
  </si>
  <si>
    <t>Status</t>
  </si>
  <si>
    <t>delivered</t>
  </si>
  <si>
    <t>cancelled</t>
  </si>
  <si>
    <t>in Transit</t>
  </si>
  <si>
    <t>Marks</t>
  </si>
  <si>
    <t>A</t>
  </si>
  <si>
    <t>if the marks in Physics, Chemistry, and Mathematics are 40 or above, then display the result as "PASS"; otherwise, display "FAIL".</t>
  </si>
  <si>
    <t>Give a bonus of 1000 to the salesperson in the IT Department whose sales are more than 20,000; otherwise, give no bonus.</t>
  </si>
  <si>
    <t>If the progress is "Delivered" or "Cancelled", display the status as "CLOSED"; otherwise, display "OPEN".</t>
  </si>
  <si>
    <t>If a student's marks are less than 40% or the student was absent, display "FAIL"; otherwise, display "PASS".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</si>
</sst>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Aptos Narrow"/>
      <family val="2"/>
      <scheme val="minor"/>
    </font>
    <font>
      <b/>
      <sz val="22"/>
      <color theme="2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3" fillId="3" borderId="2" xfId="0" applyFont="1" applyFill="1" applyBorder="1"/>
    <xf numFmtId="14" fontId="0" fillId="0" borderId="2" xfId="0" applyNumberFormat="1" applyBorder="1"/>
    <xf numFmtId="0" fontId="0" fillId="0" borderId="2" xfId="0" applyBorder="1"/>
    <xf numFmtId="9" fontId="0" fillId="0" borderId="2" xfId="0" applyNumberFormat="1" applyBorder="1"/>
    <xf numFmtId="0" fontId="1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0" borderId="0" xfId="0" applyFont="1" applyAlignment="1">
      <alignment horizontal="left" vertical="center" inden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eep/Downloads/70%20excel%20formulas%20and%20functions%20basic%20to%20advanced%20(2).xlsx" TargetMode="External"/><Relationship Id="rId2" Type="http://schemas.openxmlformats.org/officeDocument/2006/relationships/externalLinkPath" Target="file:///C:\Users\Deep\Downloads\70%20excel%20formulas%20and%20functions%20basic%20to%20advanced%20(2).xlsx" TargetMode="External"/><Relationship Id="rId1" Type="http://schemas.openxmlformats.org/officeDocument/2006/relationships/externalLinkPath" Target="/Users/Deep/Downloads/70%20excel%20formulas%20and%20functions%20basic%20to%20advanced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Sheet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>
        <row r="3">
          <cell r="B3" t="str">
            <v>Emp Id</v>
          </cell>
          <cell r="D3" t="str">
            <v>Photo</v>
          </cell>
        </row>
        <row r="4">
          <cell r="B4">
            <v>100</v>
          </cell>
          <cell r="F4">
            <v>102</v>
          </cell>
        </row>
        <row r="5">
          <cell r="B5">
            <v>101</v>
          </cell>
        </row>
        <row r="6">
          <cell r="B6">
            <v>102</v>
          </cell>
        </row>
        <row r="7">
          <cell r="B7">
            <v>103</v>
          </cell>
        </row>
      </sheetData>
      <sheetData sheetId="69"/>
      <sheetData sheetId="7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80480-7287-45E4-A20D-CDAEDD68C119}">
  <dimension ref="A1:H21"/>
  <sheetViews>
    <sheetView tabSelected="1" zoomScale="130" zoomScaleNormal="130" workbookViewId="0">
      <pane ySplit="1" topLeftCell="A16" activePane="bottomLeft" state="frozen"/>
      <selection activeCell="A10" sqref="A10"/>
      <selection pane="bottomLeft" activeCell="F24" sqref="F24"/>
    </sheetView>
  </sheetViews>
  <sheetFormatPr defaultRowHeight="18" x14ac:dyDescent="0.35"/>
  <cols>
    <col min="2" max="2" width="15.25" customWidth="1"/>
    <col min="3" max="4" width="10.1640625" customWidth="1"/>
    <col min="5" max="5" width="3.5" customWidth="1"/>
    <col min="6" max="6" width="13.25" customWidth="1"/>
    <col min="7" max="7" width="9.58203125" customWidth="1"/>
    <col min="8" max="8" width="25.5" customWidth="1"/>
  </cols>
  <sheetData>
    <row r="1" spans="1:8" s="2" customFormat="1" ht="32.549999999999997" customHeight="1" thickBot="1" x14ac:dyDescent="0.4">
      <c r="A1" s="7">
        <v>1</v>
      </c>
      <c r="B1" s="1" t="s">
        <v>0</v>
      </c>
    </row>
    <row r="3" spans="1:8" x14ac:dyDescent="0.35">
      <c r="B3" s="3" t="s">
        <v>1</v>
      </c>
      <c r="C3" s="3" t="s">
        <v>2</v>
      </c>
      <c r="D3" s="3" t="s">
        <v>3</v>
      </c>
      <c r="F3" s="3" t="s">
        <v>1</v>
      </c>
      <c r="G3" s="3" t="s">
        <v>2</v>
      </c>
      <c r="H3" s="3" t="s">
        <v>4</v>
      </c>
    </row>
    <row r="4" spans="1:8" x14ac:dyDescent="0.35">
      <c r="B4" s="4" t="s">
        <v>5</v>
      </c>
      <c r="C4" s="5">
        <v>34</v>
      </c>
      <c r="D4" s="5" t="str">
        <f>IF(C4&gt;=40,"Pass","Fail")</f>
        <v>Fail</v>
      </c>
      <c r="F4" s="4" t="s">
        <v>5</v>
      </c>
      <c r="G4" s="5">
        <v>34</v>
      </c>
      <c r="H4" s="5">
        <f>IF(G4&lt;40,G4+5,G4)</f>
        <v>39</v>
      </c>
    </row>
    <row r="5" spans="1:8" x14ac:dyDescent="0.35">
      <c r="B5" s="4" t="s">
        <v>6</v>
      </c>
      <c r="C5" s="5">
        <v>54</v>
      </c>
      <c r="D5" s="5" t="str">
        <f t="shared" ref="D5:D8" si="0">IF(C5&gt;=40,"Pass","Fail")</f>
        <v>Pass</v>
      </c>
      <c r="F5" s="4" t="s">
        <v>6</v>
      </c>
      <c r="G5" s="5">
        <v>54</v>
      </c>
      <c r="H5" s="5">
        <f t="shared" ref="H5:H8" si="1">IF(G5&lt;40,G5+5,G5)</f>
        <v>54</v>
      </c>
    </row>
    <row r="6" spans="1:8" x14ac:dyDescent="0.35">
      <c r="B6" s="4" t="s">
        <v>7</v>
      </c>
      <c r="C6" s="5">
        <v>33</v>
      </c>
      <c r="D6" s="5" t="str">
        <f t="shared" si="0"/>
        <v>Fail</v>
      </c>
      <c r="F6" s="4" t="s">
        <v>7</v>
      </c>
      <c r="G6" s="5">
        <v>87</v>
      </c>
      <c r="H6" s="5">
        <f t="shared" si="1"/>
        <v>87</v>
      </c>
    </row>
    <row r="7" spans="1:8" x14ac:dyDescent="0.35">
      <c r="B7" s="4" t="s">
        <v>8</v>
      </c>
      <c r="C7" s="5">
        <v>28</v>
      </c>
      <c r="D7" s="5" t="str">
        <f t="shared" si="0"/>
        <v>Fail</v>
      </c>
      <c r="F7" s="4" t="s">
        <v>8</v>
      </c>
      <c r="G7" s="5">
        <v>55</v>
      </c>
      <c r="H7" s="5">
        <f t="shared" si="1"/>
        <v>55</v>
      </c>
    </row>
    <row r="8" spans="1:8" x14ac:dyDescent="0.35">
      <c r="B8" s="4" t="s">
        <v>9</v>
      </c>
      <c r="C8" s="5">
        <v>13</v>
      </c>
      <c r="D8" s="5" t="str">
        <f t="shared" si="0"/>
        <v>Fail</v>
      </c>
      <c r="F8" s="4" t="s">
        <v>9</v>
      </c>
      <c r="G8" s="5">
        <v>13</v>
      </c>
      <c r="H8" s="5">
        <f t="shared" si="1"/>
        <v>18</v>
      </c>
    </row>
    <row r="10" spans="1:8" x14ac:dyDescent="0.35">
      <c r="B10" s="3" t="s">
        <v>1</v>
      </c>
      <c r="C10" s="3" t="s">
        <v>2</v>
      </c>
      <c r="D10" s="3" t="s">
        <v>10</v>
      </c>
      <c r="F10" s="3" t="s">
        <v>1</v>
      </c>
      <c r="G10" s="3" t="s">
        <v>2</v>
      </c>
      <c r="H10" s="3" t="s">
        <v>11</v>
      </c>
    </row>
    <row r="11" spans="1:8" x14ac:dyDescent="0.35">
      <c r="B11" s="4" t="s">
        <v>5</v>
      </c>
      <c r="C11" s="5">
        <v>25</v>
      </c>
      <c r="D11" s="5" t="str">
        <f>IF(C11&lt;40,B11,"")</f>
        <v>Raj Kumar</v>
      </c>
      <c r="F11" s="4" t="s">
        <v>5</v>
      </c>
      <c r="G11" s="5">
        <v>34</v>
      </c>
      <c r="H11" s="5" t="str">
        <f>IF(G11&gt;=40,"✅","❎")</f>
        <v>❎</v>
      </c>
    </row>
    <row r="12" spans="1:8" x14ac:dyDescent="0.35">
      <c r="B12" s="4" t="s">
        <v>6</v>
      </c>
      <c r="C12" s="5">
        <v>12</v>
      </c>
      <c r="D12" s="5" t="str">
        <f t="shared" ref="D12:D14" si="2">IF(C12&lt;40,B12,"")</f>
        <v>Mohit</v>
      </c>
      <c r="F12" s="4" t="s">
        <v>6</v>
      </c>
      <c r="G12" s="5">
        <v>54</v>
      </c>
      <c r="H12" s="5" t="str">
        <f t="shared" ref="H12:H14" si="3">IF(G12&gt;=40,"✅","❌")</f>
        <v>✅</v>
      </c>
    </row>
    <row r="13" spans="1:8" x14ac:dyDescent="0.35">
      <c r="B13" s="4" t="s">
        <v>7</v>
      </c>
      <c r="C13" s="5">
        <v>13</v>
      </c>
      <c r="D13" s="5" t="str">
        <f t="shared" si="2"/>
        <v>Anil Kumar</v>
      </c>
      <c r="F13" s="4" t="s">
        <v>7</v>
      </c>
      <c r="G13" s="5">
        <v>87</v>
      </c>
      <c r="H13" s="5" t="str">
        <f t="shared" si="3"/>
        <v>✅</v>
      </c>
    </row>
    <row r="14" spans="1:8" x14ac:dyDescent="0.35">
      <c r="B14" s="4" t="s">
        <v>8</v>
      </c>
      <c r="C14" s="5">
        <v>44</v>
      </c>
      <c r="D14" s="5" t="str">
        <f t="shared" si="2"/>
        <v/>
      </c>
      <c r="F14" s="4" t="s">
        <v>8</v>
      </c>
      <c r="G14" s="5">
        <v>55</v>
      </c>
      <c r="H14" s="5" t="str">
        <f t="shared" si="3"/>
        <v>✅</v>
      </c>
    </row>
    <row r="16" spans="1:8" x14ac:dyDescent="0.35">
      <c r="B16" s="3" t="s">
        <v>1</v>
      </c>
      <c r="C16" s="3" t="s">
        <v>12</v>
      </c>
      <c r="D16" s="9" t="s">
        <v>13</v>
      </c>
      <c r="E16" s="9"/>
      <c r="F16" s="9"/>
    </row>
    <row r="17" spans="2:6" x14ac:dyDescent="0.35">
      <c r="B17" s="4" t="s">
        <v>5</v>
      </c>
      <c r="C17" s="5" t="s">
        <v>14</v>
      </c>
      <c r="D17" s="8" t="str">
        <f>IF(C17="Male","Mr. "&amp;B17,"Mis. "&amp;B17)</f>
        <v>Mr. Raj Kumar</v>
      </c>
      <c r="E17" s="8"/>
      <c r="F17" s="8"/>
    </row>
    <row r="18" spans="2:6" x14ac:dyDescent="0.35">
      <c r="B18" s="4" t="s">
        <v>15</v>
      </c>
      <c r="C18" s="5" t="s">
        <v>16</v>
      </c>
      <c r="D18" s="8" t="str">
        <f t="shared" ref="D18:D21" si="4">IF(C18="Male","Mr. "&amp;B18,"Mis. "&amp;B18)</f>
        <v>Mis. Teena</v>
      </c>
      <c r="E18" s="8"/>
      <c r="F18" s="8"/>
    </row>
    <row r="19" spans="2:6" x14ac:dyDescent="0.35">
      <c r="B19" s="4" t="s">
        <v>7</v>
      </c>
      <c r="C19" s="5" t="s">
        <v>14</v>
      </c>
      <c r="D19" s="8" t="str">
        <f t="shared" si="4"/>
        <v>Mr. Anil Kumar</v>
      </c>
      <c r="E19" s="8"/>
      <c r="F19" s="8"/>
    </row>
    <row r="20" spans="2:6" x14ac:dyDescent="0.35">
      <c r="B20" s="4" t="s">
        <v>17</v>
      </c>
      <c r="C20" s="5" t="s">
        <v>16</v>
      </c>
      <c r="D20" s="8" t="str">
        <f t="shared" si="4"/>
        <v>Mis. Reena</v>
      </c>
      <c r="E20" s="8"/>
      <c r="F20" s="8"/>
    </row>
    <row r="21" spans="2:6" x14ac:dyDescent="0.35">
      <c r="B21" s="4" t="s">
        <v>9</v>
      </c>
      <c r="C21" s="5" t="s">
        <v>14</v>
      </c>
      <c r="D21" s="8" t="str">
        <f t="shared" si="4"/>
        <v>Mr. Deepak</v>
      </c>
      <c r="E21" s="8"/>
      <c r="F21" s="8"/>
    </row>
  </sheetData>
  <mergeCells count="6">
    <mergeCell ref="D21:F21"/>
    <mergeCell ref="D16:F16"/>
    <mergeCell ref="D17:F17"/>
    <mergeCell ref="D18:F18"/>
    <mergeCell ref="D19:F19"/>
    <mergeCell ref="D20:F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AD5E1-DEB8-4397-BDD3-F174F003673F}">
  <dimension ref="A1:G26"/>
  <sheetViews>
    <sheetView zoomScaleNormal="100" workbookViewId="0">
      <pane ySplit="1" topLeftCell="A16" activePane="bottomLeft" state="frozen"/>
      <selection activeCell="A10" sqref="A10"/>
      <selection pane="bottomLeft" activeCell="L25" sqref="L25"/>
    </sheetView>
  </sheetViews>
  <sheetFormatPr defaultRowHeight="18" x14ac:dyDescent="0.35"/>
  <cols>
    <col min="2" max="2" width="14.83203125" customWidth="1"/>
    <col min="3" max="3" width="10.75" customWidth="1"/>
    <col min="4" max="5" width="10.1640625" customWidth="1"/>
    <col min="6" max="6" width="20.33203125" customWidth="1"/>
    <col min="7" max="7" width="18.6640625" customWidth="1"/>
  </cols>
  <sheetData>
    <row r="1" spans="1:7" s="2" customFormat="1" ht="32.549999999999997" customHeight="1" thickBot="1" x14ac:dyDescent="0.4">
      <c r="A1" s="7">
        <v>2</v>
      </c>
      <c r="B1" s="1" t="s">
        <v>18</v>
      </c>
    </row>
    <row r="3" spans="1:7" x14ac:dyDescent="0.35">
      <c r="B3" s="3" t="s">
        <v>1</v>
      </c>
      <c r="C3" s="3" t="s">
        <v>19</v>
      </c>
      <c r="D3" s="3" t="s">
        <v>20</v>
      </c>
      <c r="E3" s="3" t="s">
        <v>21</v>
      </c>
      <c r="F3" s="3" t="s">
        <v>3</v>
      </c>
    </row>
    <row r="4" spans="1:7" x14ac:dyDescent="0.35">
      <c r="B4" s="4" t="s">
        <v>5</v>
      </c>
      <c r="C4" s="5">
        <v>66</v>
      </c>
      <c r="D4" s="5">
        <v>55</v>
      </c>
      <c r="E4" s="5">
        <v>44</v>
      </c>
      <c r="F4" s="5" t="str">
        <f>IF(AND(C4&gt;=40,D4&gt;=40,E4&gt;=40),"Pass","Fail")</f>
        <v>Pass</v>
      </c>
      <c r="G4" t="b">
        <f>AND(C4&gt;=40,D4&gt;=40,E4&gt;=40)</f>
        <v>1</v>
      </c>
    </row>
    <row r="5" spans="1:7" x14ac:dyDescent="0.35">
      <c r="B5" s="4" t="s">
        <v>6</v>
      </c>
      <c r="C5" s="5">
        <v>54</v>
      </c>
      <c r="D5" s="5">
        <v>33</v>
      </c>
      <c r="E5" s="5">
        <v>44</v>
      </c>
      <c r="F5" s="5" t="str">
        <f t="shared" ref="F5:F8" si="0">IF(AND(C5&gt;=40,D5&gt;=40,E5&gt;=40),"Pass","Fail")</f>
        <v>Fail</v>
      </c>
    </row>
    <row r="6" spans="1:7" x14ac:dyDescent="0.35">
      <c r="B6" s="4" t="s">
        <v>7</v>
      </c>
      <c r="C6" s="5">
        <v>87</v>
      </c>
      <c r="D6" s="5">
        <v>76</v>
      </c>
      <c r="E6" s="5">
        <v>56</v>
      </c>
      <c r="F6" s="5" t="str">
        <f t="shared" si="0"/>
        <v>Pass</v>
      </c>
    </row>
    <row r="7" spans="1:7" x14ac:dyDescent="0.35">
      <c r="B7" s="4" t="s">
        <v>8</v>
      </c>
      <c r="C7" s="5">
        <v>55</v>
      </c>
      <c r="D7" s="5">
        <v>56</v>
      </c>
      <c r="E7" s="5">
        <v>34</v>
      </c>
      <c r="F7" s="5" t="str">
        <f t="shared" si="0"/>
        <v>Fail</v>
      </c>
    </row>
    <row r="8" spans="1:7" x14ac:dyDescent="0.35">
      <c r="B8" s="4" t="s">
        <v>9</v>
      </c>
      <c r="C8" s="5">
        <v>13</v>
      </c>
      <c r="D8" s="5">
        <v>65</v>
      </c>
      <c r="E8" s="5">
        <v>27</v>
      </c>
      <c r="F8" s="5" t="str">
        <f t="shared" si="0"/>
        <v>Fail</v>
      </c>
    </row>
    <row r="10" spans="1:7" x14ac:dyDescent="0.35">
      <c r="B10" t="s">
        <v>43</v>
      </c>
    </row>
    <row r="16" spans="1:7" x14ac:dyDescent="0.35">
      <c r="B16" s="3" t="s">
        <v>22</v>
      </c>
      <c r="C16" s="3" t="s">
        <v>23</v>
      </c>
      <c r="D16" s="3" t="s">
        <v>24</v>
      </c>
      <c r="E16" s="3" t="s">
        <v>25</v>
      </c>
      <c r="F16" s="3" t="s">
        <v>26</v>
      </c>
    </row>
    <row r="17" spans="2:6" x14ac:dyDescent="0.35">
      <c r="B17" s="4" t="s">
        <v>5</v>
      </c>
      <c r="C17" s="5" t="s">
        <v>27</v>
      </c>
      <c r="D17" s="5" t="s">
        <v>28</v>
      </c>
      <c r="E17" s="5">
        <v>10000</v>
      </c>
      <c r="F17" s="5" t="str">
        <f>IF(AND(C17="IT",E17&gt;20000),1000,"")</f>
        <v/>
      </c>
    </row>
    <row r="18" spans="2:6" x14ac:dyDescent="0.35">
      <c r="B18" s="4" t="s">
        <v>6</v>
      </c>
      <c r="C18" s="5" t="s">
        <v>29</v>
      </c>
      <c r="D18" s="5" t="s">
        <v>30</v>
      </c>
      <c r="E18" s="5">
        <v>15000</v>
      </c>
      <c r="F18" s="5" t="str">
        <f t="shared" ref="F18:F24" si="1">IF(AND(C18="IT",E18&gt;20000),1000,"")</f>
        <v/>
      </c>
    </row>
    <row r="19" spans="2:6" x14ac:dyDescent="0.35">
      <c r="B19" s="4" t="s">
        <v>7</v>
      </c>
      <c r="C19" s="5" t="s">
        <v>27</v>
      </c>
      <c r="D19" s="5" t="s">
        <v>28</v>
      </c>
      <c r="E19" s="5">
        <v>22000</v>
      </c>
      <c r="F19" s="5">
        <f t="shared" si="1"/>
        <v>1000</v>
      </c>
    </row>
    <row r="20" spans="2:6" x14ac:dyDescent="0.35">
      <c r="B20" s="4" t="s">
        <v>8</v>
      </c>
      <c r="C20" s="5" t="s">
        <v>27</v>
      </c>
      <c r="D20" s="5" t="s">
        <v>31</v>
      </c>
      <c r="E20" s="5">
        <v>5000</v>
      </c>
      <c r="F20" s="5" t="str">
        <f t="shared" si="1"/>
        <v/>
      </c>
    </row>
    <row r="21" spans="2:6" x14ac:dyDescent="0.35">
      <c r="B21" s="4" t="s">
        <v>9</v>
      </c>
      <c r="C21" s="5" t="s">
        <v>32</v>
      </c>
      <c r="D21" s="5" t="s">
        <v>33</v>
      </c>
      <c r="E21" s="5">
        <v>11000</v>
      </c>
      <c r="F21" s="5" t="str">
        <f t="shared" si="1"/>
        <v/>
      </c>
    </row>
    <row r="22" spans="2:6" x14ac:dyDescent="0.35">
      <c r="B22" s="4" t="s">
        <v>8</v>
      </c>
      <c r="C22" s="5" t="s">
        <v>32</v>
      </c>
      <c r="D22" s="5" t="s">
        <v>31</v>
      </c>
      <c r="E22" s="5">
        <v>7000</v>
      </c>
      <c r="F22" s="5" t="str">
        <f t="shared" si="1"/>
        <v/>
      </c>
    </row>
    <row r="23" spans="2:6" x14ac:dyDescent="0.35">
      <c r="B23" s="4" t="s">
        <v>9</v>
      </c>
      <c r="C23" s="5" t="s">
        <v>27</v>
      </c>
      <c r="D23" s="5" t="s">
        <v>31</v>
      </c>
      <c r="E23" s="5">
        <v>25000</v>
      </c>
      <c r="F23" s="5">
        <f t="shared" si="1"/>
        <v>1000</v>
      </c>
    </row>
    <row r="24" spans="2:6" x14ac:dyDescent="0.35">
      <c r="B24" s="4" t="s">
        <v>8</v>
      </c>
      <c r="C24" s="5" t="s">
        <v>27</v>
      </c>
      <c r="D24" s="5" t="s">
        <v>28</v>
      </c>
      <c r="E24" s="5">
        <v>16000</v>
      </c>
      <c r="F24" s="5" t="str">
        <f t="shared" si="1"/>
        <v/>
      </c>
    </row>
    <row r="26" spans="2:6" x14ac:dyDescent="0.35">
      <c r="B26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4B35C-2CAD-445E-AB94-CB1A7B2B4F85}">
  <dimension ref="A1:H26"/>
  <sheetViews>
    <sheetView zoomScale="130" zoomScaleNormal="130" workbookViewId="0">
      <pane ySplit="1" topLeftCell="A16" activePane="bottomLeft" state="frozen"/>
      <selection activeCell="F24" sqref="F24"/>
      <selection pane="bottomLeft" activeCell="G25" sqref="G25"/>
    </sheetView>
  </sheetViews>
  <sheetFormatPr defaultRowHeight="18" x14ac:dyDescent="0.35"/>
  <cols>
    <col min="2" max="2" width="14.83203125" customWidth="1"/>
    <col min="3" max="3" width="10.75" customWidth="1"/>
    <col min="4" max="4" width="25.75" customWidth="1"/>
    <col min="5" max="5" width="3.5" customWidth="1"/>
  </cols>
  <sheetData>
    <row r="1" spans="1:8" s="2" customFormat="1" ht="32.549999999999997" customHeight="1" thickBot="1" x14ac:dyDescent="0.4">
      <c r="A1" s="7">
        <v>3</v>
      </c>
      <c r="B1" s="1" t="s">
        <v>34</v>
      </c>
    </row>
    <row r="3" spans="1:8" x14ac:dyDescent="0.35">
      <c r="B3" s="3" t="s">
        <v>35</v>
      </c>
      <c r="C3" s="3" t="s">
        <v>36</v>
      </c>
      <c r="D3" s="3" t="s">
        <v>37</v>
      </c>
    </row>
    <row r="4" spans="1:8" x14ac:dyDescent="0.35">
      <c r="B4" s="4" t="s">
        <v>5</v>
      </c>
      <c r="C4" s="5" t="s">
        <v>38</v>
      </c>
      <c r="D4" s="5" t="str">
        <f>IF(OR(C4="delivered",C4="cancelled"),"Closed","Open")</f>
        <v>Closed</v>
      </c>
      <c r="F4" t="b">
        <f>OR(C4="Delivered",C4="cancelled")</f>
        <v>1</v>
      </c>
    </row>
    <row r="5" spans="1:8" x14ac:dyDescent="0.35">
      <c r="B5" s="4" t="s">
        <v>6</v>
      </c>
      <c r="C5" s="5" t="s">
        <v>39</v>
      </c>
      <c r="D5" s="5" t="str">
        <f t="shared" ref="D5:D8" si="0">IF(OR(C5="delivered",C5="cancelled"),"Closed","Open")</f>
        <v>Closed</v>
      </c>
      <c r="F5" t="b">
        <f t="shared" ref="F5:F8" si="1">OR(C5="Delivered",C5="cancelled")</f>
        <v>1</v>
      </c>
    </row>
    <row r="6" spans="1:8" x14ac:dyDescent="0.35">
      <c r="B6" s="4" t="s">
        <v>7</v>
      </c>
      <c r="C6" s="5" t="s">
        <v>40</v>
      </c>
      <c r="D6" s="5" t="str">
        <f t="shared" si="0"/>
        <v>Open</v>
      </c>
      <c r="F6" t="b">
        <f t="shared" si="1"/>
        <v>0</v>
      </c>
    </row>
    <row r="7" spans="1:8" x14ac:dyDescent="0.35">
      <c r="B7" s="4" t="s">
        <v>8</v>
      </c>
      <c r="C7" s="5" t="s">
        <v>38</v>
      </c>
      <c r="D7" s="5" t="str">
        <f t="shared" si="0"/>
        <v>Closed</v>
      </c>
      <c r="F7" t="b">
        <f t="shared" si="1"/>
        <v>1</v>
      </c>
    </row>
    <row r="8" spans="1:8" x14ac:dyDescent="0.35">
      <c r="B8" s="4" t="s">
        <v>9</v>
      </c>
      <c r="C8" s="5" t="s">
        <v>39</v>
      </c>
      <c r="D8" s="5" t="str">
        <f t="shared" si="0"/>
        <v>Closed</v>
      </c>
      <c r="F8" t="b">
        <f t="shared" si="1"/>
        <v>1</v>
      </c>
    </row>
    <row r="10" spans="1:8" x14ac:dyDescent="0.35">
      <c r="B10" s="11" t="s">
        <v>45</v>
      </c>
      <c r="C10" s="11"/>
      <c r="D10" s="11"/>
      <c r="E10" s="11"/>
      <c r="F10" s="11"/>
      <c r="G10" s="11"/>
      <c r="H10" s="11"/>
    </row>
    <row r="16" spans="1:8" x14ac:dyDescent="0.35">
      <c r="B16" s="3" t="s">
        <v>1</v>
      </c>
      <c r="C16" s="3" t="s">
        <v>41</v>
      </c>
      <c r="D16" s="3" t="s">
        <v>3</v>
      </c>
    </row>
    <row r="17" spans="2:4" x14ac:dyDescent="0.35">
      <c r="B17" s="4" t="s">
        <v>5</v>
      </c>
      <c r="C17" s="6">
        <v>0.45</v>
      </c>
      <c r="D17" s="5" t="str">
        <f>IF(OR(C17&lt;40%,C17="A"),"FAIL","PASS")</f>
        <v>PASS</v>
      </c>
    </row>
    <row r="18" spans="2:4" x14ac:dyDescent="0.35">
      <c r="B18" s="4" t="s">
        <v>6</v>
      </c>
      <c r="C18" s="6">
        <v>0.76</v>
      </c>
      <c r="D18" s="5" t="str">
        <f t="shared" ref="D18:D24" si="2">IF(OR(C18&lt;40%,C18="A"),"FAIL","PASS")</f>
        <v>PASS</v>
      </c>
    </row>
    <row r="19" spans="2:4" x14ac:dyDescent="0.35">
      <c r="B19" s="4" t="s">
        <v>7</v>
      </c>
      <c r="C19" s="6">
        <v>0.56000000000000005</v>
      </c>
      <c r="D19" s="5" t="str">
        <f t="shared" si="2"/>
        <v>PASS</v>
      </c>
    </row>
    <row r="20" spans="2:4" x14ac:dyDescent="0.35">
      <c r="B20" s="4" t="s">
        <v>8</v>
      </c>
      <c r="C20" s="5" t="s">
        <v>42</v>
      </c>
      <c r="D20" s="5" t="str">
        <f t="shared" si="2"/>
        <v>FAIL</v>
      </c>
    </row>
    <row r="21" spans="2:4" x14ac:dyDescent="0.35">
      <c r="B21" s="4" t="s">
        <v>9</v>
      </c>
      <c r="C21" s="6">
        <v>0.77</v>
      </c>
      <c r="D21" s="5" t="str">
        <f t="shared" si="2"/>
        <v>PASS</v>
      </c>
    </row>
    <row r="22" spans="2:4" x14ac:dyDescent="0.35">
      <c r="B22" s="4" t="s">
        <v>8</v>
      </c>
      <c r="C22" s="5" t="s">
        <v>42</v>
      </c>
      <c r="D22" s="5" t="str">
        <f t="shared" si="2"/>
        <v>FAIL</v>
      </c>
    </row>
    <row r="23" spans="2:4" x14ac:dyDescent="0.35">
      <c r="B23" s="4" t="s">
        <v>9</v>
      </c>
      <c r="C23" s="6">
        <v>0.98</v>
      </c>
      <c r="D23" s="5" t="str">
        <f t="shared" si="2"/>
        <v>PASS</v>
      </c>
    </row>
    <row r="24" spans="2:4" x14ac:dyDescent="0.35">
      <c r="B24" s="4" t="s">
        <v>8</v>
      </c>
      <c r="C24" s="6">
        <v>0.33</v>
      </c>
      <c r="D24" s="5" t="str">
        <f t="shared" si="2"/>
        <v>FAIL</v>
      </c>
    </row>
    <row r="26" spans="2:4" x14ac:dyDescent="0.35">
      <c r="B26" s="1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if</vt:lpstr>
      <vt:lpstr>if and</vt:lpstr>
      <vt:lpstr>if 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nehra</dc:creator>
  <cp:lastModifiedBy>Krishna Pandey</cp:lastModifiedBy>
  <dcterms:created xsi:type="dcterms:W3CDTF">2025-02-27T06:51:54Z</dcterms:created>
  <dcterms:modified xsi:type="dcterms:W3CDTF">2026-06-26T15:56:15Z</dcterms:modified>
</cp:coreProperties>
</file>