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 Pandey\Desktop\MY-FILES\CODING\GitHub\Data-Science\Excel\"/>
    </mc:Choice>
  </mc:AlternateContent>
  <xr:revisionPtr revIDLastSave="0" documentId="8_{1D6E1504-00AB-4494-B3FD-1073F0318781}" xr6:coauthVersionLast="47" xr6:coauthVersionMax="47" xr10:uidLastSave="{00000000-0000-0000-0000-000000000000}"/>
  <bookViews>
    <workbookView xWindow="-108" yWindow="-108" windowWidth="23256" windowHeight="12456" activeTab="1" xr2:uid="{A09BE59B-A1B4-4C04-969F-5085B7D8D97E}"/>
  </bookViews>
  <sheets>
    <sheet name="Sum" sheetId="1" r:id="rId1"/>
    <sheet name="Count" sheetId="3" r:id="rId2"/>
    <sheet name="Average" sheetId="5" r:id="rId3"/>
    <sheet name="Max_Mi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6" l="1"/>
  <c r="E6" i="6"/>
  <c r="E6" i="5"/>
  <c r="E5" i="5"/>
  <c r="E4" i="5"/>
  <c r="E8" i="3"/>
  <c r="E7" i="3"/>
  <c r="E6" i="3"/>
  <c r="E5" i="3"/>
  <c r="E4" i="3"/>
  <c r="E6" i="1"/>
  <c r="E4" i="1"/>
  <c r="E5" i="1"/>
</calcChain>
</file>

<file path=xl/sharedStrings.xml><?xml version="1.0" encoding="utf-8"?>
<sst xmlns="http://schemas.openxmlformats.org/spreadsheetml/2006/main" count="93" uniqueCount="33">
  <si>
    <t>Quantity</t>
  </si>
  <si>
    <t>Order ID</t>
  </si>
  <si>
    <t>Basketball</t>
  </si>
  <si>
    <t>Football</t>
  </si>
  <si>
    <t>Tennis Balls</t>
  </si>
  <si>
    <t>Product</t>
  </si>
  <si>
    <t>Soccer Ball</t>
  </si>
  <si>
    <t>Ping Pong Balls</t>
  </si>
  <si>
    <t>=sum</t>
  </si>
  <si>
    <t>=sumif</t>
  </si>
  <si>
    <t>=sumifs</t>
  </si>
  <si>
    <r>
      <t xml:space="preserve">sums cells, when </t>
    </r>
    <r>
      <rPr>
        <i/>
        <sz val="11"/>
        <color theme="1"/>
        <rFont val="Calibri"/>
        <family val="2"/>
        <scheme val="minor"/>
      </rPr>
      <t>multiple</t>
    </r>
    <r>
      <rPr>
        <sz val="11"/>
        <color theme="1"/>
        <rFont val="Calibri"/>
        <family val="2"/>
        <scheme val="minor"/>
      </rPr>
      <t xml:space="preserve"> conditions are met</t>
    </r>
  </si>
  <si>
    <t>Product,"Ping Pong Balls",Quantity</t>
  </si>
  <si>
    <t>=count</t>
  </si>
  <si>
    <t># of cells that have numbers</t>
  </si>
  <si>
    <t>=counta</t>
  </si>
  <si>
    <t># of cells that have numbers or text (i.e. NOT blank)</t>
  </si>
  <si>
    <t>=countblank</t>
  </si>
  <si>
    <t># of cells that are blank</t>
  </si>
  <si>
    <t>=countif</t>
  </si>
  <si>
    <t># of cells that meet a condition</t>
  </si>
  <si>
    <t>=countifs</t>
  </si>
  <si>
    <r>
      <t xml:space="preserve"># of </t>
    </r>
    <r>
      <rPr>
        <i/>
        <sz val="11"/>
        <color theme="1"/>
        <rFont val="Calibri"/>
        <family val="2"/>
        <scheme val="minor"/>
      </rPr>
      <t>times</t>
    </r>
    <r>
      <rPr>
        <sz val="11"/>
        <color theme="1"/>
        <rFont val="Calibri"/>
        <family val="2"/>
        <scheme val="minor"/>
      </rPr>
      <t xml:space="preserve"> multiple conditions are met</t>
    </r>
  </si>
  <si>
    <t>Trampoline</t>
  </si>
  <si>
    <t>Unknown</t>
  </si>
  <si>
    <t>=average</t>
  </si>
  <si>
    <t>averages cells</t>
  </si>
  <si>
    <t>=averageif</t>
  </si>
  <si>
    <r>
      <t xml:space="preserve">averages cells, when </t>
    </r>
    <r>
      <rPr>
        <i/>
        <sz val="11"/>
        <color theme="1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condition is met</t>
    </r>
  </si>
  <si>
    <t>=averageifs</t>
  </si>
  <si>
    <r>
      <t xml:space="preserve">averages cells, when </t>
    </r>
    <r>
      <rPr>
        <i/>
        <sz val="11"/>
        <color theme="1"/>
        <rFont val="Calibri"/>
        <family val="2"/>
        <scheme val="minor"/>
      </rPr>
      <t>multiple</t>
    </r>
    <r>
      <rPr>
        <sz val="11"/>
        <color theme="1"/>
        <rFont val="Calibri"/>
        <family val="2"/>
        <scheme val="minor"/>
      </rPr>
      <t xml:space="preserve"> conditions are met</t>
    </r>
  </si>
  <si>
    <t>MAX is used to find the highest value in a range.</t>
  </si>
  <si>
    <t>MIN is used to find the lowest value in a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</si>
</sst>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0" xfId="0" quotePrefix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76A1-68AF-403A-9F82-DFFD59020871}">
  <dimension ref="A1:G15"/>
  <sheetViews>
    <sheetView zoomScaleNormal="100" workbookViewId="0">
      <selection activeCell="C16" sqref="A1:C16"/>
    </sheetView>
  </sheetViews>
  <sheetFormatPr defaultColWidth="9.109375" defaultRowHeight="14.4" x14ac:dyDescent="0.3"/>
  <cols>
    <col min="1" max="1" width="9.5546875" style="2" customWidth="1"/>
    <col min="2" max="2" width="14.44140625" style="1" bestFit="1" customWidth="1"/>
    <col min="3" max="3" width="9.5546875" style="2" customWidth="1"/>
    <col min="4" max="4" width="4.6640625" style="1" customWidth="1"/>
    <col min="5" max="5" width="15.33203125" style="1" customWidth="1"/>
    <col min="6" max="6" width="10.5546875" style="1" customWidth="1"/>
    <col min="7" max="7" width="40.88671875" style="1" customWidth="1"/>
    <col min="8" max="16384" width="9.109375" style="1"/>
  </cols>
  <sheetData>
    <row r="1" spans="1:7" x14ac:dyDescent="0.3">
      <c r="A1" s="3" t="s">
        <v>1</v>
      </c>
      <c r="B1" s="3" t="s">
        <v>5</v>
      </c>
      <c r="C1" s="3" t="s">
        <v>0</v>
      </c>
    </row>
    <row r="2" spans="1:7" x14ac:dyDescent="0.3">
      <c r="A2" s="2">
        <v>489434</v>
      </c>
      <c r="B2" s="2" t="s">
        <v>3</v>
      </c>
      <c r="C2" s="2">
        <v>12</v>
      </c>
    </row>
    <row r="3" spans="1:7" x14ac:dyDescent="0.3">
      <c r="A3" s="2">
        <v>489434</v>
      </c>
      <c r="B3" s="2" t="s">
        <v>2</v>
      </c>
      <c r="C3" s="2">
        <v>5</v>
      </c>
    </row>
    <row r="4" spans="1:7" x14ac:dyDescent="0.3">
      <c r="A4" s="2">
        <v>489435</v>
      </c>
      <c r="B4" s="2" t="s">
        <v>7</v>
      </c>
      <c r="C4" s="2">
        <v>12</v>
      </c>
      <c r="E4" s="4">
        <f>SUM(C1:C15)</f>
        <v>165</v>
      </c>
      <c r="F4" s="5" t="s">
        <v>8</v>
      </c>
      <c r="G4" s="1" t="s">
        <v>0</v>
      </c>
    </row>
    <row r="5" spans="1:7" x14ac:dyDescent="0.3">
      <c r="A5" s="2">
        <v>489435</v>
      </c>
      <c r="B5" s="2" t="s">
        <v>4</v>
      </c>
      <c r="C5" s="2">
        <v>10</v>
      </c>
      <c r="E5" s="4">
        <f>SUMIF(B1:B15,"Ping Pong Balls",C1:C15)</f>
        <v>21</v>
      </c>
      <c r="F5" s="5" t="s">
        <v>9</v>
      </c>
      <c r="G5" s="1" t="s">
        <v>12</v>
      </c>
    </row>
    <row r="6" spans="1:7" x14ac:dyDescent="0.3">
      <c r="A6" s="2">
        <v>489435</v>
      </c>
      <c r="B6" s="2" t="s">
        <v>6</v>
      </c>
      <c r="C6" s="2">
        <v>24</v>
      </c>
      <c r="E6" s="4">
        <f>SUMIFS(C2:C15,B2:B15,"Football",A2:A15,489437)</f>
        <v>14</v>
      </c>
      <c r="F6" s="5" t="s">
        <v>10</v>
      </c>
      <c r="G6" s="1" t="s">
        <v>11</v>
      </c>
    </row>
    <row r="7" spans="1:7" x14ac:dyDescent="0.3">
      <c r="A7" s="2">
        <v>489436</v>
      </c>
      <c r="B7" s="2" t="s">
        <v>3</v>
      </c>
      <c r="C7" s="2">
        <v>15</v>
      </c>
    </row>
    <row r="8" spans="1:7" x14ac:dyDescent="0.3">
      <c r="A8" s="2">
        <v>489436</v>
      </c>
      <c r="B8" s="2" t="s">
        <v>2</v>
      </c>
      <c r="C8" s="2">
        <v>24</v>
      </c>
    </row>
    <row r="9" spans="1:7" x14ac:dyDescent="0.3">
      <c r="A9" s="2">
        <v>489437</v>
      </c>
      <c r="B9" s="2" t="s">
        <v>3</v>
      </c>
      <c r="C9" s="2">
        <v>2</v>
      </c>
    </row>
    <row r="10" spans="1:7" x14ac:dyDescent="0.3">
      <c r="A10" s="2">
        <v>489437</v>
      </c>
      <c r="B10" s="2" t="s">
        <v>3</v>
      </c>
      <c r="C10" s="2">
        <v>12</v>
      </c>
    </row>
    <row r="11" spans="1:7" x14ac:dyDescent="0.3">
      <c r="A11" s="2">
        <v>489437</v>
      </c>
      <c r="B11" s="2" t="s">
        <v>7</v>
      </c>
      <c r="C11" s="2">
        <v>9</v>
      </c>
    </row>
    <row r="12" spans="1:7" x14ac:dyDescent="0.3">
      <c r="A12" s="2">
        <v>489437</v>
      </c>
      <c r="B12" s="2" t="s">
        <v>2</v>
      </c>
      <c r="C12" s="2">
        <v>24</v>
      </c>
    </row>
    <row r="13" spans="1:7" x14ac:dyDescent="0.3">
      <c r="A13" s="2">
        <v>489438</v>
      </c>
      <c r="B13" s="2" t="s">
        <v>4</v>
      </c>
      <c r="C13" s="2">
        <v>13</v>
      </c>
    </row>
    <row r="14" spans="1:7" x14ac:dyDescent="0.3">
      <c r="A14" s="2">
        <v>489439</v>
      </c>
      <c r="B14" s="2" t="s">
        <v>6</v>
      </c>
      <c r="C14" s="2">
        <v>2</v>
      </c>
    </row>
    <row r="15" spans="1:7" x14ac:dyDescent="0.3">
      <c r="A15" s="2">
        <v>489439</v>
      </c>
      <c r="B15" s="2" t="s">
        <v>2</v>
      </c>
      <c r="C1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E2C2-6785-4C2B-AB5E-579D433CB2AF}">
  <dimension ref="A1:G17"/>
  <sheetViews>
    <sheetView tabSelected="1" workbookViewId="0">
      <selection activeCell="F9" sqref="F9"/>
    </sheetView>
  </sheetViews>
  <sheetFormatPr defaultRowHeight="14.4" x14ac:dyDescent="0.3"/>
  <sheetData>
    <row r="1" spans="1:7" x14ac:dyDescent="0.3">
      <c r="A1" s="3" t="s">
        <v>1</v>
      </c>
      <c r="B1" s="3" t="s">
        <v>5</v>
      </c>
      <c r="C1" s="3" t="s">
        <v>0</v>
      </c>
      <c r="D1" s="1"/>
      <c r="E1" s="1"/>
      <c r="F1" s="1"/>
      <c r="G1" s="1"/>
    </row>
    <row r="2" spans="1:7" x14ac:dyDescent="0.3">
      <c r="A2" s="2">
        <v>489434</v>
      </c>
      <c r="B2" s="2" t="s">
        <v>3</v>
      </c>
      <c r="C2" s="2">
        <v>12</v>
      </c>
      <c r="D2" s="1"/>
      <c r="E2" s="1"/>
      <c r="F2" s="1"/>
      <c r="G2" s="1"/>
    </row>
    <row r="3" spans="1:7" x14ac:dyDescent="0.3">
      <c r="A3" s="2">
        <v>489434</v>
      </c>
      <c r="B3" s="2" t="s">
        <v>2</v>
      </c>
      <c r="C3" s="2"/>
      <c r="D3" s="1"/>
      <c r="E3" s="1"/>
      <c r="F3" s="1"/>
      <c r="G3" s="1"/>
    </row>
    <row r="4" spans="1:7" x14ac:dyDescent="0.3">
      <c r="A4" s="2">
        <v>489435</v>
      </c>
      <c r="B4" s="2" t="s">
        <v>7</v>
      </c>
      <c r="C4" s="2">
        <v>12</v>
      </c>
      <c r="D4" s="1"/>
      <c r="E4" s="4">
        <f>COUNT(C2:C15)</f>
        <v>11</v>
      </c>
      <c r="F4" s="5" t="s">
        <v>13</v>
      </c>
      <c r="G4" s="1" t="s">
        <v>14</v>
      </c>
    </row>
    <row r="5" spans="1:7" x14ac:dyDescent="0.3">
      <c r="A5" s="2">
        <v>489435</v>
      </c>
      <c r="B5" s="2" t="s">
        <v>4</v>
      </c>
      <c r="C5" s="2">
        <v>48</v>
      </c>
      <c r="D5" s="1"/>
      <c r="E5" s="4">
        <f>COUNTA(C2:C15)</f>
        <v>12</v>
      </c>
      <c r="F5" s="5" t="s">
        <v>15</v>
      </c>
      <c r="G5" s="1" t="s">
        <v>16</v>
      </c>
    </row>
    <row r="6" spans="1:7" x14ac:dyDescent="0.3">
      <c r="A6" s="2">
        <v>489435</v>
      </c>
      <c r="B6" s="2" t="s">
        <v>6</v>
      </c>
      <c r="C6" s="2">
        <v>24</v>
      </c>
      <c r="D6" s="1"/>
      <c r="E6" s="4">
        <f>COUNTBLANK(C2:C15)</f>
        <v>2</v>
      </c>
      <c r="F6" s="5" t="s">
        <v>17</v>
      </c>
      <c r="G6" s="1" t="s">
        <v>18</v>
      </c>
    </row>
    <row r="7" spans="1:7" x14ac:dyDescent="0.3">
      <c r="A7" s="2">
        <v>489436</v>
      </c>
      <c r="B7" s="2" t="s">
        <v>3</v>
      </c>
      <c r="C7" s="2">
        <v>24</v>
      </c>
      <c r="D7" s="1"/>
      <c r="E7" s="4">
        <f>COUNTIF(B2:B15,"Basketball")</f>
        <v>4</v>
      </c>
      <c r="F7" s="5" t="s">
        <v>19</v>
      </c>
      <c r="G7" s="1" t="s">
        <v>20</v>
      </c>
    </row>
    <row r="8" spans="1:7" x14ac:dyDescent="0.3">
      <c r="A8" s="2">
        <v>489436</v>
      </c>
      <c r="B8" s="2" t="s">
        <v>2</v>
      </c>
      <c r="C8" s="2">
        <v>24</v>
      </c>
      <c r="D8" s="1"/>
      <c r="E8" s="4">
        <f>COUNTIFS(B2:B15,"Basketball",C2:C15,24)</f>
        <v>2</v>
      </c>
      <c r="F8" s="5" t="s">
        <v>21</v>
      </c>
      <c r="G8" s="1" t="s">
        <v>22</v>
      </c>
    </row>
    <row r="9" spans="1:7" x14ac:dyDescent="0.3">
      <c r="A9" s="2">
        <v>489437</v>
      </c>
      <c r="B9" s="2" t="s">
        <v>3</v>
      </c>
      <c r="C9" s="2"/>
      <c r="D9" s="1"/>
      <c r="E9" s="1"/>
      <c r="F9" s="1"/>
      <c r="G9" s="1"/>
    </row>
    <row r="10" spans="1:7" x14ac:dyDescent="0.3">
      <c r="A10" s="2">
        <v>489437</v>
      </c>
      <c r="B10" s="2" t="s">
        <v>23</v>
      </c>
      <c r="C10" s="2">
        <v>12</v>
      </c>
      <c r="D10" s="1"/>
      <c r="E10" s="1"/>
      <c r="F10" s="1"/>
      <c r="G10" s="1"/>
    </row>
    <row r="11" spans="1:7" x14ac:dyDescent="0.3">
      <c r="A11" s="2">
        <v>489437</v>
      </c>
      <c r="B11" s="2" t="s">
        <v>7</v>
      </c>
      <c r="C11" s="2">
        <v>12</v>
      </c>
      <c r="D11" s="1"/>
      <c r="E11" s="1"/>
      <c r="F11" s="1"/>
      <c r="G11" s="1"/>
    </row>
    <row r="12" spans="1:7" x14ac:dyDescent="0.3">
      <c r="A12" s="2">
        <v>489437</v>
      </c>
      <c r="B12" s="2" t="s">
        <v>2</v>
      </c>
      <c r="C12" s="2">
        <v>24</v>
      </c>
      <c r="D12" s="1"/>
      <c r="E12" s="1"/>
      <c r="F12" s="1"/>
      <c r="G12" s="1"/>
    </row>
    <row r="13" spans="1:7" x14ac:dyDescent="0.3">
      <c r="A13" s="2">
        <v>489438</v>
      </c>
      <c r="B13" s="2" t="s">
        <v>4</v>
      </c>
      <c r="C13" s="2" t="s">
        <v>24</v>
      </c>
      <c r="D13" s="1"/>
      <c r="E13" s="1"/>
      <c r="F13" s="1"/>
      <c r="G13" s="1"/>
    </row>
    <row r="14" spans="1:7" x14ac:dyDescent="0.3">
      <c r="A14" s="2">
        <v>489439</v>
      </c>
      <c r="B14" s="2" t="s">
        <v>6</v>
      </c>
      <c r="C14" s="2">
        <v>10</v>
      </c>
      <c r="D14" s="1"/>
      <c r="E14" s="1"/>
      <c r="F14" s="1"/>
      <c r="G14" s="1"/>
    </row>
    <row r="15" spans="1:7" x14ac:dyDescent="0.3">
      <c r="A15" s="2">
        <v>489439</v>
      </c>
      <c r="B15" s="2" t="s">
        <v>2</v>
      </c>
      <c r="C15" s="2">
        <v>18</v>
      </c>
      <c r="D15" s="1"/>
      <c r="E15" s="1"/>
      <c r="F15" s="1"/>
      <c r="G15" s="1"/>
    </row>
    <row r="16" spans="1:7" x14ac:dyDescent="0.3">
      <c r="A16" s="2"/>
      <c r="B16" s="1"/>
      <c r="C16" s="2"/>
      <c r="D16" s="1"/>
      <c r="E16" s="1"/>
      <c r="F16" s="1"/>
      <c r="G16" s="1"/>
    </row>
    <row r="17" spans="1:7" x14ac:dyDescent="0.3">
      <c r="A17" s="2"/>
      <c r="B17" s="1"/>
      <c r="C17" s="2"/>
      <c r="D17" s="1"/>
      <c r="E17" s="1"/>
      <c r="F17" s="1"/>
      <c r="G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B8E8-B192-4D0F-9EA6-65AD5E65220C}">
  <dimension ref="A1:G16"/>
  <sheetViews>
    <sheetView workbookViewId="0">
      <selection activeCell="E7" sqref="E7"/>
    </sheetView>
  </sheetViews>
  <sheetFormatPr defaultRowHeight="14.4" x14ac:dyDescent="0.3"/>
  <sheetData>
    <row r="1" spans="1:7" x14ac:dyDescent="0.3">
      <c r="A1" s="3" t="s">
        <v>1</v>
      </c>
      <c r="B1" s="3" t="s">
        <v>5</v>
      </c>
      <c r="C1" s="3" t="s">
        <v>0</v>
      </c>
      <c r="D1" s="1"/>
      <c r="E1" s="1"/>
      <c r="F1" s="1"/>
      <c r="G1" s="1"/>
    </row>
    <row r="2" spans="1:7" x14ac:dyDescent="0.3">
      <c r="A2" s="2">
        <v>489434</v>
      </c>
      <c r="B2" s="2" t="s">
        <v>3</v>
      </c>
      <c r="C2" s="2">
        <v>12</v>
      </c>
      <c r="D2" s="1"/>
      <c r="E2" s="1"/>
      <c r="F2" s="1"/>
      <c r="G2" s="1"/>
    </row>
    <row r="3" spans="1:7" x14ac:dyDescent="0.3">
      <c r="A3" s="2">
        <v>489434</v>
      </c>
      <c r="B3" s="2" t="s">
        <v>2</v>
      </c>
      <c r="C3" s="2">
        <v>5</v>
      </c>
      <c r="D3" s="1"/>
      <c r="E3" s="1"/>
      <c r="F3" s="1"/>
      <c r="G3" s="1"/>
    </row>
    <row r="4" spans="1:7" x14ac:dyDescent="0.3">
      <c r="A4" s="2">
        <v>489435</v>
      </c>
      <c r="B4" s="2" t="s">
        <v>7</v>
      </c>
      <c r="C4" s="2">
        <v>12</v>
      </c>
      <c r="D4" s="1"/>
      <c r="E4" s="4">
        <f>AVERAGE(C2:C15)</f>
        <v>11.785714285714286</v>
      </c>
      <c r="F4" s="5" t="s">
        <v>25</v>
      </c>
      <c r="G4" s="1" t="s">
        <v>26</v>
      </c>
    </row>
    <row r="5" spans="1:7" x14ac:dyDescent="0.3">
      <c r="A5" s="2">
        <v>489435</v>
      </c>
      <c r="B5" s="2" t="s">
        <v>4</v>
      </c>
      <c r="C5" s="2">
        <v>10</v>
      </c>
      <c r="D5" s="1"/>
      <c r="E5" s="4">
        <f>AVERAGEIF(B2:B15,"Football",C2:C15)</f>
        <v>10.25</v>
      </c>
      <c r="F5" s="5" t="s">
        <v>27</v>
      </c>
      <c r="G5" s="1" t="s">
        <v>28</v>
      </c>
    </row>
    <row r="6" spans="1:7" x14ac:dyDescent="0.3">
      <c r="A6" s="2">
        <v>489435</v>
      </c>
      <c r="B6" s="2" t="s">
        <v>6</v>
      </c>
      <c r="C6" s="2">
        <v>24</v>
      </c>
      <c r="D6" s="1"/>
      <c r="E6" s="4">
        <f>AVERAGEIFS(C2:C15,B2:B15,"Football",A2:A15,489437)</f>
        <v>7</v>
      </c>
      <c r="F6" s="5" t="s">
        <v>29</v>
      </c>
      <c r="G6" s="1" t="s">
        <v>30</v>
      </c>
    </row>
    <row r="7" spans="1:7" x14ac:dyDescent="0.3">
      <c r="A7" s="2">
        <v>489436</v>
      </c>
      <c r="B7" s="2" t="s">
        <v>3</v>
      </c>
      <c r="C7" s="2">
        <v>15</v>
      </c>
      <c r="D7" s="1"/>
      <c r="E7" s="1"/>
      <c r="F7" s="1"/>
      <c r="G7" s="1"/>
    </row>
    <row r="8" spans="1:7" x14ac:dyDescent="0.3">
      <c r="A8" s="2">
        <v>489436</v>
      </c>
      <c r="B8" s="2" t="s">
        <v>2</v>
      </c>
      <c r="C8" s="2">
        <v>24</v>
      </c>
      <c r="D8" s="1"/>
      <c r="E8" s="1"/>
      <c r="F8" s="1"/>
      <c r="G8" s="1"/>
    </row>
    <row r="9" spans="1:7" x14ac:dyDescent="0.3">
      <c r="A9" s="2">
        <v>489437</v>
      </c>
      <c r="B9" s="2" t="s">
        <v>3</v>
      </c>
      <c r="C9" s="2">
        <v>2</v>
      </c>
      <c r="D9" s="1"/>
      <c r="E9" s="1"/>
      <c r="F9" s="1"/>
      <c r="G9" s="1"/>
    </row>
    <row r="10" spans="1:7" x14ac:dyDescent="0.3">
      <c r="A10" s="2">
        <v>489437</v>
      </c>
      <c r="B10" s="2" t="s">
        <v>3</v>
      </c>
      <c r="C10" s="2">
        <v>12</v>
      </c>
      <c r="D10" s="1"/>
      <c r="E10" s="1"/>
      <c r="F10" s="1"/>
      <c r="G10" s="1"/>
    </row>
    <row r="11" spans="1:7" x14ac:dyDescent="0.3">
      <c r="A11" s="2">
        <v>489437</v>
      </c>
      <c r="B11" s="2" t="s">
        <v>7</v>
      </c>
      <c r="C11" s="2">
        <v>9</v>
      </c>
      <c r="D11" s="1"/>
      <c r="E11" s="1"/>
      <c r="F11" s="1"/>
      <c r="G11" s="1"/>
    </row>
    <row r="12" spans="1:7" x14ac:dyDescent="0.3">
      <c r="A12" s="2">
        <v>489437</v>
      </c>
      <c r="B12" s="2" t="s">
        <v>2</v>
      </c>
      <c r="C12" s="2">
        <v>24</v>
      </c>
      <c r="D12" s="1"/>
      <c r="E12" s="1"/>
      <c r="F12" s="1"/>
      <c r="G12" s="1"/>
    </row>
    <row r="13" spans="1:7" x14ac:dyDescent="0.3">
      <c r="A13" s="2">
        <v>489438</v>
      </c>
      <c r="B13" s="2" t="s">
        <v>4</v>
      </c>
      <c r="C13" s="2">
        <v>13</v>
      </c>
      <c r="D13" s="1"/>
      <c r="E13" s="1"/>
      <c r="F13" s="1"/>
      <c r="G13" s="1"/>
    </row>
    <row r="14" spans="1:7" x14ac:dyDescent="0.3">
      <c r="A14" s="2">
        <v>489439</v>
      </c>
      <c r="B14" s="2" t="s">
        <v>6</v>
      </c>
      <c r="C14" s="2">
        <v>2</v>
      </c>
      <c r="D14" s="1"/>
      <c r="E14" s="1"/>
      <c r="F14" s="1"/>
      <c r="G14" s="1"/>
    </row>
    <row r="15" spans="1:7" x14ac:dyDescent="0.3">
      <c r="A15" s="2">
        <v>489439</v>
      </c>
      <c r="B15" s="2" t="s">
        <v>2</v>
      </c>
      <c r="C15" s="2">
        <v>1</v>
      </c>
      <c r="D15" s="1"/>
      <c r="E15" s="1"/>
      <c r="F15" s="1"/>
      <c r="G15" s="1"/>
    </row>
    <row r="16" spans="1:7" x14ac:dyDescent="0.3">
      <c r="A16" s="2"/>
      <c r="B16" s="1"/>
      <c r="C16" s="2"/>
      <c r="D16" s="1"/>
      <c r="E16" s="1"/>
      <c r="F16" s="1"/>
      <c r="G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BA99-5C4C-4C34-921D-C5BC9E31A5C3}">
  <dimension ref="A1:F16"/>
  <sheetViews>
    <sheetView workbookViewId="0">
      <selection activeCell="G8" sqref="G8"/>
    </sheetView>
  </sheetViews>
  <sheetFormatPr defaultRowHeight="14.4" x14ac:dyDescent="0.3"/>
  <sheetData>
    <row r="1" spans="1:6" x14ac:dyDescent="0.3">
      <c r="A1" s="3" t="s">
        <v>1</v>
      </c>
      <c r="B1" s="3" t="s">
        <v>5</v>
      </c>
      <c r="C1" s="3" t="s">
        <v>0</v>
      </c>
    </row>
    <row r="2" spans="1:6" x14ac:dyDescent="0.3">
      <c r="A2" s="2">
        <v>489434</v>
      </c>
      <c r="B2" s="2" t="s">
        <v>3</v>
      </c>
      <c r="C2" s="2">
        <v>12</v>
      </c>
    </row>
    <row r="3" spans="1:6" x14ac:dyDescent="0.3">
      <c r="A3" s="2">
        <v>489434</v>
      </c>
      <c r="B3" s="2" t="s">
        <v>2</v>
      </c>
      <c r="C3" s="2">
        <v>5</v>
      </c>
    </row>
    <row r="4" spans="1:6" x14ac:dyDescent="0.3">
      <c r="A4" s="2">
        <v>489435</v>
      </c>
      <c r="B4" s="2" t="s">
        <v>7</v>
      </c>
      <c r="C4" s="2">
        <v>12</v>
      </c>
    </row>
    <row r="5" spans="1:6" x14ac:dyDescent="0.3">
      <c r="A5" s="2">
        <v>489435</v>
      </c>
      <c r="B5" s="2" t="s">
        <v>4</v>
      </c>
      <c r="C5" s="2">
        <v>10</v>
      </c>
    </row>
    <row r="6" spans="1:6" x14ac:dyDescent="0.3">
      <c r="A6" s="2">
        <v>489435</v>
      </c>
      <c r="B6" s="2" t="s">
        <v>6</v>
      </c>
      <c r="C6" s="2">
        <v>24</v>
      </c>
      <c r="E6">
        <f>MAX(C2:C15)</f>
        <v>24</v>
      </c>
      <c r="F6" t="s">
        <v>31</v>
      </c>
    </row>
    <row r="7" spans="1:6" x14ac:dyDescent="0.3">
      <c r="A7" s="2">
        <v>489436</v>
      </c>
      <c r="B7" s="2" t="s">
        <v>3</v>
      </c>
      <c r="C7" s="2">
        <v>15</v>
      </c>
      <c r="E7">
        <f>MIN(C2:C15)</f>
        <v>1</v>
      </c>
      <c r="F7" t="s">
        <v>32</v>
      </c>
    </row>
    <row r="8" spans="1:6" x14ac:dyDescent="0.3">
      <c r="A8" s="2">
        <v>489436</v>
      </c>
      <c r="B8" s="2" t="s">
        <v>2</v>
      </c>
      <c r="C8" s="2">
        <v>24</v>
      </c>
    </row>
    <row r="9" spans="1:6" x14ac:dyDescent="0.3">
      <c r="A9" s="2">
        <v>489437</v>
      </c>
      <c r="B9" s="2" t="s">
        <v>3</v>
      </c>
      <c r="C9" s="2">
        <v>2</v>
      </c>
    </row>
    <row r="10" spans="1:6" x14ac:dyDescent="0.3">
      <c r="A10" s="2">
        <v>489437</v>
      </c>
      <c r="B10" s="2" t="s">
        <v>3</v>
      </c>
      <c r="C10" s="2">
        <v>12</v>
      </c>
    </row>
    <row r="11" spans="1:6" x14ac:dyDescent="0.3">
      <c r="A11" s="2">
        <v>489437</v>
      </c>
      <c r="B11" s="2" t="s">
        <v>7</v>
      </c>
      <c r="C11" s="2">
        <v>9</v>
      </c>
    </row>
    <row r="12" spans="1:6" x14ac:dyDescent="0.3">
      <c r="A12" s="2">
        <v>489437</v>
      </c>
      <c r="B12" s="2" t="s">
        <v>2</v>
      </c>
      <c r="C12" s="2">
        <v>24</v>
      </c>
    </row>
    <row r="13" spans="1:6" x14ac:dyDescent="0.3">
      <c r="A13" s="2">
        <v>489438</v>
      </c>
      <c r="B13" s="2" t="s">
        <v>4</v>
      </c>
      <c r="C13" s="2">
        <v>13</v>
      </c>
    </row>
    <row r="14" spans="1:6" x14ac:dyDescent="0.3">
      <c r="A14" s="2">
        <v>489439</v>
      </c>
      <c r="B14" s="2" t="s">
        <v>6</v>
      </c>
      <c r="C14" s="2">
        <v>2</v>
      </c>
    </row>
    <row r="15" spans="1:6" x14ac:dyDescent="0.3">
      <c r="A15" s="2">
        <v>489439</v>
      </c>
      <c r="B15" s="2" t="s">
        <v>2</v>
      </c>
      <c r="C15" s="2">
        <v>1</v>
      </c>
    </row>
    <row r="16" spans="1:6" x14ac:dyDescent="0.3">
      <c r="A16" s="2"/>
      <c r="B16" s="1"/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Count</vt:lpstr>
      <vt:lpstr>Average</vt:lpstr>
      <vt:lpstr>Max_Min</vt:lpstr>
    </vt:vector>
  </TitlesOfParts>
  <Company>Wisconsin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Baldwin</dc:creator>
  <cp:lastModifiedBy>Krishna Pandey</cp:lastModifiedBy>
  <dcterms:created xsi:type="dcterms:W3CDTF">2021-09-18T02:43:11Z</dcterms:created>
  <dcterms:modified xsi:type="dcterms:W3CDTF">2026-06-17T15:10:28Z</dcterms:modified>
</cp:coreProperties>
</file>